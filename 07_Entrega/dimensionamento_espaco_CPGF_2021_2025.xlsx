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activeTab="3" xWindow="240" yWindow="15" windowWidth="16095" windowHeight="9660"/>
  </bookViews>
  <sheets>
    <sheet name="Premissas" sheetId="1" r:id="rId1"/>
    <sheet name="Brutos 2021-2025" sheetId="2" r:id="rId2"/>
    <sheet name="Modelo CSV" sheetId="3" r:id="rId3"/>
    <sheet name="Resumo" sheetId="4" r:id="rId4"/>
  </sheets>
  <definedNames>
    <definedName name="_xlnm._FilterDatabase" localSheetId="1" hidden="1">'Brutos 2021-2025'!$A$5:$H$10</definedName>
    <definedName name="_xlnm._FilterDatabase" localSheetId="2" hidden="1">'Modelo CSV'!$A$5:$G$11</definedName>
    <definedName name="_xlnm.Print_Area" localSheetId="1">'Brutos 2021-2025'!$A$1:$H$14</definedName>
    <definedName name="_xlnm.Print_Area" localSheetId="2">'Modelo CSV'!$A$1:$G$15</definedName>
    <definedName name="_xlnm.Print_Area" localSheetId="0">Premissas!$A$1:$D$18</definedName>
    <definedName name="_xlnm.Print_Area" localSheetId="3">Resumo!$A$1:$H$26</definedName>
  </definedNames>
  <calcPr calcId="124519" fullCalcOnLoad="1"/>
</workbook>
</file>

<file path=xl/sharedStrings.xml><?xml version="1.0" encoding="utf-8"?>
<sst xmlns="http://schemas.openxmlformats.org/spreadsheetml/2006/main" count="114" uniqueCount="101">
  <si>
    <t>Premissas e fontes</t>
  </si>
  <si>
    <t>Valores em azul são entradas editáveis; medidas físicas conferidas no repositório em 30/09/2026.</t>
  </si>
  <si>
    <t>Parâmetro</t>
  </si>
  <si>
    <t>Valor</t>
  </si>
  <si>
    <t>Unidade</t>
  </si>
  <si>
    <t>Fonte / critério</t>
  </si>
  <si>
    <t>Conversão MiB</t>
  </si>
  <si>
    <t>bytes / MiB</t>
  </si>
  <si>
    <t>Definição binária: 1 MiB = 1.048.576 bytes.</t>
  </si>
  <si>
    <t>Conversão GiB</t>
  </si>
  <si>
    <t>bytes / GiB</t>
  </si>
  <si>
    <t>Definição binária: 1 GiB = 1.073.741.824 bytes.</t>
  </si>
  <si>
    <t>Folga operacional</t>
  </si>
  <si>
    <t>fração</t>
  </si>
  <si>
    <t>Premissa editável: 30% sobre os arquivos armazenados, para crescimento e operações locais.</t>
  </si>
  <si>
    <t>Cópias extras</t>
  </si>
  <si>
    <t>cópias</t>
  </si>
  <si>
    <t>Premissa editável: 0 por padrão; 1 dobra a quantidade de arquivos antes da folga.</t>
  </si>
  <si>
    <t>PBIX existente</t>
  </si>
  <si>
    <t>bytes</t>
  </si>
  <si>
    <t>06_Power_BI/t1_BI.pbix — tamanho físico observado; inclui modelo importado.</t>
  </si>
  <si>
    <t>KNWF existente</t>
  </si>
  <si>
    <t>03_ETL/ETL_CPGF_2021_2025.knwf — opcional; exportação atual contém metadados e exemplos.</t>
  </si>
  <si>
    <t>Escopo e interpretação</t>
  </si>
  <si>
    <t>A contagem e o tamanho dos 60 CSVs brutos, dos 6 CSVs dimensionais, do PBIX e do KNWF são medidos, não estimados.</t>
  </si>
  <si>
    <t>A reserva é uma estimativa: bytes medidos × (1 + cópias extras) × (1 + folga operacional).</t>
  </si>
  <si>
    <t>CSV, PBIX e KNWF são arquivos físicos distintos; somá-los dimensiona o espaço total, embora contenham dados relacionados.</t>
  </si>
  <si>
    <t>Não inclui instalação do Power BI/KNIME, cache temporário, memória RAM, sistema operacional, ZIPs de entrega ou vídeo.</t>
  </si>
  <si>
    <t>A planilha registra o tamanho dos arquivos nesta data; se os arquivos mudarem, atualize os valores em azul nas abas de origem.</t>
  </si>
  <si>
    <t>Arquivos brutos por ano de extrato</t>
  </si>
  <si>
    <t>CPGF mensal: 12 arquivos em cada ano de extrato; quantidades não representam ano da data da transação.</t>
  </si>
  <si>
    <t>Ano extrato</t>
  </si>
  <si>
    <t>Arquivos</t>
  </si>
  <si>
    <t>Linhas</t>
  </si>
  <si>
    <t>Bytes físicos</t>
  </si>
  <si>
    <t>MiB</t>
  </si>
  <si>
    <t>GiB</t>
  </si>
  <si>
    <t>Bytes / linha</t>
  </si>
  <si>
    <t>Origem</t>
  </si>
  <si>
    <t>2021</t>
  </si>
  <si>
    <t>02_Dados_Brutos/2021_jan_dez/*_CPGF.csv</t>
  </si>
  <si>
    <t>2022</t>
  </si>
  <si>
    <t>02_Dados_Brutos/2022_jan_dez/*_CPGF.csv</t>
  </si>
  <si>
    <t>2023</t>
  </si>
  <si>
    <t>02_Dados_Brutos/2023_jan_dez/*_CPGF.csv</t>
  </si>
  <si>
    <t>2024</t>
  </si>
  <si>
    <t>02_Dados_Brutos/2024_jan_dez/*_CPGF.csv</t>
  </si>
  <si>
    <t>2025</t>
  </si>
  <si>
    <t>02_Dados_Brutos/2025_jan_dez/*_CPGF.csv</t>
  </si>
  <si>
    <t>TOTAL</t>
  </si>
  <si>
    <t>60 CSVs; totais sem cabeçalho</t>
  </si>
  <si>
    <t>Fonte: arquivos em 02_Dados_Brutos/{ano}_jan_dez/*.csv. Cada linha representa uma transação publicada no extrato; sigilo pode ocultar data e portador.</t>
  </si>
  <si>
    <t>Modelo dimensional em CSV</t>
  </si>
  <si>
    <t>Grão da fato: linha de transação publicada. O tamanho se refere aos CSVs exportados, não ao modelo comprimido do PBIX.</t>
  </si>
  <si>
    <t>Tabela</t>
  </si>
  <si>
    <t>Papel</t>
  </si>
  <si>
    <t>Fato_Transacoes</t>
  </si>
  <si>
    <t>Fato</t>
  </si>
  <si>
    <t>04_Dados_Tratados/Fato_Transacoes.csv</t>
  </si>
  <si>
    <t>Dim_Favorecido</t>
  </si>
  <si>
    <t>Dimensão</t>
  </si>
  <si>
    <t>04_Dados_Tratados/Dim_Favorecido.csv</t>
  </si>
  <si>
    <t>Dim_Orgao</t>
  </si>
  <si>
    <t>04_Dados_Tratados/Dim_Orgao.csv</t>
  </si>
  <si>
    <t>Dim_Portador</t>
  </si>
  <si>
    <t>04_Dados_Tratados/Dim_Portador.csv</t>
  </si>
  <si>
    <t>Dim_Tempo</t>
  </si>
  <si>
    <t>04_Dados_Tratados/Dim_Tempo.csv</t>
  </si>
  <si>
    <t>Dim_Transacao</t>
  </si>
  <si>
    <t>04_Dados_Tratados/Dim_Transacao.csv</t>
  </si>
  <si>
    <t>6 CSVs</t>
  </si>
  <si>
    <t>Soma dos seis arquivos; linhas das dimensões não são transações.</t>
  </si>
  <si>
    <t>Fonte: 04_Dados_Tratados/*.csv. O número de transações está apenas em Fato_Transacoes; o TOTAL de linhas soma fato e dimensões para conferir volume físico.</t>
  </si>
  <si>
    <t>CPGF 2021-2025 | Dimensionamento DOLAP</t>
  </si>
  <si>
    <t>Espaço em disco local: tamanhos observados em bytes + premissas editáveis de reserva. Unidades binárias (MiB, GiB).</t>
  </si>
  <si>
    <t>Base observada em 30/09/2026</t>
  </si>
  <si>
    <t>Transações na tabela fato</t>
  </si>
  <si>
    <t>Modelo dimensional CSV (bytes)</t>
  </si>
  <si>
    <t>Dados brutos 2021-2025 (bytes)</t>
  </si>
  <si>
    <t>PBIX (bytes)</t>
  </si>
  <si>
    <t>Cenários: espaço físico medido e reserva recomendada</t>
  </si>
  <si>
    <t>Escopo</t>
  </si>
  <si>
    <t>Bytes medidos</t>
  </si>
  <si>
    <t>MiB medidos</t>
  </si>
  <si>
    <t>GiB medidos</t>
  </si>
  <si>
    <t>Folga (MiB)</t>
  </si>
  <si>
    <t>Reservar (MiB)</t>
  </si>
  <si>
    <t>Reservar (GiB)</t>
  </si>
  <si>
    <t>Arquivos considerados</t>
  </si>
  <si>
    <t>Somente relatório Power BI</t>
  </si>
  <si>
    <t>PBIX local; não guarda separadamente os CSVs para atualizar.</t>
  </si>
  <si>
    <t>PBIX + modelo CSV</t>
  </si>
  <si>
    <t>PBIX + fato e cinco dimensões em CSV.</t>
  </si>
  <si>
    <t>PBIX + CSV + fontes originais</t>
  </si>
  <si>
    <t>Anterior + 60 arquivos brutos para refazer o ETL.</t>
  </si>
  <si>
    <t>Acervo local com KNIME</t>
  </si>
  <si>
    <t>Anterior + fluxo KNIME exportado; não inclui instalação do KNIME.</t>
  </si>
  <si>
    <t>Reserva sugerida: análise + fontes</t>
  </si>
  <si>
    <t>Reserva com KNIME exportado</t>
  </si>
  <si>
    <t>DOLAP aqui significa guardar o relatório Power BI e, conforme o cenário escolhido, seus arquivos CSV locais. A reserva é uma premissa, não tamanho adicional já utilizado. Para recuperação, alterar Cópias extras na aba Premissas.</t>
  </si>
  <si>
    <t>A granularidade dos extratos é mês/ano de extrato (2021–2025). Datas de transação disponíveis também incluem 2020 e há registros sob sigilo sem data/portador; isso não muda o número de linhas ou os bytes medidos.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</si>
</sst>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%"/>
    <numFmt numFmtId="166" formatCode="#,##0.00"/>
  </numFmts>
  <fonts count="12">
    <font>
      <sz val="11"/>
      <color theme="1"/>
      <name val="Calibri"/>
      <family val="2"/>
      <scheme val="minor"/>
    </font>
    <font>
      <b/>
      <sz val="17"/>
      <color rgb="FFFFFFFF"/>
      <name val="Arial"/>
      <family val="2"/>
    </font>
    <font>
      <i/>
      <sz val="10"/>
      <color rgb="FF415367"/>
      <name val="Arial"/>
      <family val="2"/>
    </font>
    <font>
      <b/>
      <sz val="10"/>
      <color rgb="FFFFFFFF"/>
      <name val="Arial"/>
      <family val="2"/>
    </font>
    <font>
      <sz val="10"/>
      <color rgb="FF24364A"/>
      <name val="Arial"/>
      <family val="2"/>
    </font>
    <font>
      <sz val="10"/>
      <color rgb="FF1A4AB9"/>
      <name val="Arial"/>
      <family val="2"/>
    </font>
    <font>
      <sz val="10"/>
      <color rgb="FF415367"/>
      <name val="Arial"/>
      <family val="2"/>
    </font>
    <font>
      <sz val="10"/>
      <color rgb="FF111111"/>
      <name val="Arial"/>
      <family val="2"/>
    </font>
    <font>
      <b/>
      <sz val="10"/>
      <color rgb="FF142A43"/>
      <name val="Arial"/>
      <family val="2"/>
    </font>
    <font>
      <b/>
      <sz val="10"/>
      <color rgb="FF111111"/>
      <name val="Arial"/>
      <family val="2"/>
    </font>
    <font>
      <sz val="10"/>
      <color rgb="FF008040"/>
      <name val="Arial"/>
      <family val="2"/>
    </font>
    <font>
      <b/>
      <sz val="15"/>
      <color rgb="FF142A4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42A43"/>
        <bgColor indexed="64"/>
      </patternFill>
    </fill>
    <fill>
      <patternFill patternType="solid">
        <fgColor rgb="FFFFF2BD"/>
        <bgColor indexed="64"/>
      </patternFill>
    </fill>
    <fill>
      <patternFill patternType="solid">
        <fgColor rgb="FF087E8B"/>
        <bgColor indexed="64"/>
      </patternFill>
    </fill>
    <fill>
      <patternFill patternType="solid">
        <fgColor rgb="FFE9F3F6"/>
        <bgColor indexed="64"/>
      </patternFill>
    </fill>
    <fill>
      <patternFill patternType="solid">
        <fgColor rgb="FFDBED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EC5CC"/>
      </bottom>
      <diagonal/>
    </border>
    <border>
      <left/>
      <right/>
      <top style="thin">
        <color rgb="FF087E8B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0" xfId="0" applyFont="1"/>
    <xf numFmtId="164" fontId="5" fillId="0" borderId="0" xfId="0" applyNumberFormat="1" applyFont="1"/>
    <xf numFmtId="0" fontId="6" fillId="0" borderId="0" xfId="0" applyFont="1" applyAlignment="1">
      <alignment vertical="center" wrapText="1"/>
    </xf>
    <xf numFmtId="165" fontId="5" fillId="3" borderId="0" xfId="0" applyNumberFormat="1" applyFont="1" applyFill="1"/>
    <xf numFmtId="1" fontId="5" fillId="3" borderId="0" xfId="0" applyNumberFormat="1" applyFont="1" applyFill="1"/>
    <xf numFmtId="0" fontId="3" fillId="4" borderId="0" xfId="0" applyFont="1" applyFill="1" applyAlignment="1">
      <alignment vertical="center" wrapText="1"/>
    </xf>
    <xf numFmtId="0" fontId="6" fillId="5" borderId="0" xfId="0" applyFont="1" applyFill="1" applyAlignment="1">
      <alignment vertical="top" wrapText="1"/>
    </xf>
    <xf numFmtId="166" fontId="7" fillId="0" borderId="0" xfId="0" applyNumberFormat="1" applyFont="1"/>
    <xf numFmtId="0" fontId="8" fillId="5" borderId="2" xfId="0" applyFont="1" applyFill="1" applyBorder="1"/>
    <xf numFmtId="164" fontId="9" fillId="5" borderId="2" xfId="0" applyNumberFormat="1" applyFont="1" applyFill="1" applyBorder="1"/>
    <xf numFmtId="166" fontId="9" fillId="5" borderId="2" xfId="0" applyNumberFormat="1" applyFont="1" applyFill="1" applyBorder="1"/>
    <xf numFmtId="164" fontId="10" fillId="0" borderId="0" xfId="0" applyNumberFormat="1" applyFont="1"/>
    <xf numFmtId="164" fontId="7" fillId="0" borderId="0" xfId="0" applyNumberFormat="1" applyFont="1"/>
    <xf numFmtId="166" fontId="11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33.7109375" customWidth="1"/>
    <col min="2" max="2" width="19.7109375" customWidth="1"/>
    <col min="3" max="3" width="18.7109375" customWidth="1"/>
    <col min="4" max="4" width="78.7109375" customWidth="1"/>
  </cols>
  <sheetData>
    <row r="1" spans="1:4" ht="22" customHeight="1">
      <c r="A1" s="1" t="s">
        <v>0</v>
      </c>
      <c r="B1" s="1"/>
      <c r="C1" s="1"/>
      <c r="D1" s="1"/>
    </row>
    <row r="2" spans="1:4" ht="17" customHeight="1">
      <c r="A2" s="1"/>
      <c r="B2" s="1"/>
      <c r="C2" s="1"/>
      <c r="D2" s="1"/>
    </row>
    <row r="3" spans="1:4">
      <c r="A3" s="2" t="s">
        <v>1</v>
      </c>
      <c r="B3" s="2"/>
      <c r="C3" s="2"/>
      <c r="D3" s="2"/>
    </row>
    <row r="5" spans="1:4">
      <c r="A5" s="3" t="s">
        <v>2</v>
      </c>
      <c r="B5" s="3" t="s">
        <v>3</v>
      </c>
      <c r="C5" s="3" t="s">
        <v>4</v>
      </c>
      <c r="D5" s="3" t="s">
        <v>5</v>
      </c>
    </row>
    <row r="6" spans="1:4" ht="28" customHeight="1">
      <c r="A6" s="4" t="s">
        <v>6</v>
      </c>
      <c r="B6" s="5">
        <v>1048576</v>
      </c>
      <c r="C6" s="4" t="s">
        <v>7</v>
      </c>
      <c r="D6" s="6" t="s">
        <v>8</v>
      </c>
    </row>
    <row r="7" spans="1:4" ht="28" customHeight="1">
      <c r="A7" s="4" t="s">
        <v>9</v>
      </c>
      <c r="B7" s="5">
        <v>1073741824</v>
      </c>
      <c r="C7" s="4" t="s">
        <v>10</v>
      </c>
      <c r="D7" s="6" t="s">
        <v>11</v>
      </c>
    </row>
    <row r="8" spans="1:4" ht="34" customHeight="1">
      <c r="A8" s="4" t="s">
        <v>12</v>
      </c>
      <c r="B8" s="7">
        <v>0.3</v>
      </c>
      <c r="C8" s="4" t="s">
        <v>13</v>
      </c>
      <c r="D8" s="6" t="s">
        <v>14</v>
      </c>
    </row>
    <row r="9" spans="1:4" ht="34" customHeight="1">
      <c r="A9" s="4" t="s">
        <v>15</v>
      </c>
      <c r="B9" s="8">
        <v>0</v>
      </c>
      <c r="C9" s="4" t="s">
        <v>16</v>
      </c>
      <c r="D9" s="6" t="s">
        <v>17</v>
      </c>
    </row>
    <row r="10" spans="1:4" ht="34" customHeight="1">
      <c r="A10" s="4" t="s">
        <v>18</v>
      </c>
      <c r="B10" s="5">
        <v>9117811</v>
      </c>
      <c r="C10" s="4" t="s">
        <v>19</v>
      </c>
      <c r="D10" s="6" t="s">
        <v>20</v>
      </c>
    </row>
    <row r="11" spans="1:4" ht="34" customHeight="1">
      <c r="A11" s="4" t="s">
        <v>21</v>
      </c>
      <c r="B11" s="5">
        <v>61589192</v>
      </c>
      <c r="C11" s="4" t="s">
        <v>19</v>
      </c>
      <c r="D11" s="6" t="s">
        <v>22</v>
      </c>
    </row>
    <row r="13" spans="1:4">
      <c r="A13" s="9" t="s">
        <v>23</v>
      </c>
      <c r="B13" s="9"/>
      <c r="C13" s="9"/>
      <c r="D13" s="9"/>
    </row>
    <row r="14" spans="1:4" ht="30" customHeight="1">
      <c r="A14" s="10" t="s">
        <v>24</v>
      </c>
      <c r="B14" s="10"/>
      <c r="C14" s="10"/>
      <c r="D14" s="10"/>
    </row>
    <row r="15" spans="1:4" ht="30" customHeight="1">
      <c r="A15" s="10" t="s">
        <v>25</v>
      </c>
      <c r="B15" s="10"/>
      <c r="C15" s="10"/>
      <c r="D15" s="10"/>
    </row>
    <row r="16" spans="1:4" ht="30" customHeight="1">
      <c r="A16" s="10" t="s">
        <v>26</v>
      </c>
      <c r="B16" s="10"/>
      <c r="C16" s="10"/>
      <c r="D16" s="10"/>
    </row>
    <row r="17" spans="1:4" ht="30" customHeight="1">
      <c r="A17" s="10" t="s">
        <v>27</v>
      </c>
      <c r="B17" s="10"/>
      <c r="C17" s="10"/>
      <c r="D17" s="10"/>
    </row>
    <row r="18" spans="1:4" ht="30" customHeight="1">
      <c r="A18" s="10" t="s">
        <v>28</v>
      </c>
      <c r="B18" s="10"/>
      <c r="C18" s="10"/>
      <c r="D18" s="10"/>
    </row>
  </sheetData>
  <mergeCells count="8">
    <mergeCell ref="A1:D2"/>
    <mergeCell ref="A3:D3"/>
    <mergeCell ref="A13:D13"/>
    <mergeCell ref="A14:D14"/>
    <mergeCell ref="A15:D15"/>
    <mergeCell ref="A16:D16"/>
    <mergeCell ref="A17:D17"/>
    <mergeCell ref="A18:D18"/>
  </mergeCells>
  <pageMargins left="0.3" right="0.3" top="0.5" bottom="0.5" header="0.3" footer="0.3"/>
  <pageSetup orientation="landscape"/>
  <headerFooter>
    <oddFooter>&amp;CCPGF 2021-2025 |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3.7109375" customWidth="1"/>
    <col min="2" max="3" width="17.7109375" customWidth="1"/>
    <col min="4" max="4" width="21.7109375" customWidth="1"/>
    <col min="5" max="7" width="17.7109375" customWidth="1"/>
    <col min="8" max="8" width="57.7109375" customWidth="1"/>
  </cols>
  <sheetData>
    <row r="1" spans="1:8" ht="22" customHeight="1">
      <c r="A1" s="1" t="s">
        <v>29</v>
      </c>
      <c r="B1" s="1"/>
      <c r="C1" s="1"/>
      <c r="D1" s="1"/>
      <c r="E1" s="1"/>
      <c r="F1" s="1"/>
      <c r="G1" s="1"/>
      <c r="H1" s="1"/>
    </row>
    <row r="2" spans="1:8" ht="17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30</v>
      </c>
      <c r="B3" s="2"/>
      <c r="C3" s="2"/>
      <c r="D3" s="2"/>
      <c r="E3" s="2"/>
      <c r="F3" s="2"/>
      <c r="G3" s="2"/>
      <c r="H3" s="2"/>
    </row>
    <row r="5" spans="1:8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</row>
    <row r="6" spans="1:8" ht="27" customHeight="1">
      <c r="A6" s="4" t="s">
        <v>39</v>
      </c>
      <c r="B6" s="5">
        <v>12</v>
      </c>
      <c r="C6" s="5">
        <v>82985</v>
      </c>
      <c r="D6" s="5">
        <v>22578020</v>
      </c>
      <c r="E6" s="11">
        <f>D6/Premissas!$B$6</f>
        <v>21.53207778930664</v>
      </c>
      <c r="F6" s="11">
        <f>D6/Premissas!$B$7</f>
        <v>0.021027419716119766</v>
      </c>
      <c r="G6" s="11">
        <f>IFERROR(D6/C6,0)</f>
        <v>272.07350726034826</v>
      </c>
      <c r="H6" s="6" t="s">
        <v>40</v>
      </c>
    </row>
    <row r="7" spans="1:8" ht="27" customHeight="1">
      <c r="A7" s="4" t="s">
        <v>41</v>
      </c>
      <c r="B7" s="5">
        <v>12</v>
      </c>
      <c r="C7" s="5">
        <v>136611</v>
      </c>
      <c r="D7" s="5">
        <v>38224346</v>
      </c>
      <c r="E7" s="11">
        <f>D7/Premissas!$B$6</f>
        <v>36.45357704162598</v>
      </c>
      <c r="F7" s="11">
        <f>D7/Premissas!$B$7</f>
        <v>0.03559919632971287</v>
      </c>
      <c r="G7" s="11">
        <f>IFERROR(D7/C7,0)</f>
        <v>279.8043056562063</v>
      </c>
      <c r="H7" s="6" t="s">
        <v>42</v>
      </c>
    </row>
    <row r="8" spans="1:8" ht="27" customHeight="1">
      <c r="A8" s="4" t="s">
        <v>43</v>
      </c>
      <c r="B8" s="5">
        <v>12</v>
      </c>
      <c r="C8" s="5">
        <v>134122</v>
      </c>
      <c r="D8" s="5">
        <v>37115069</v>
      </c>
      <c r="E8" s="11">
        <f>D8/Premissas!$B$6</f>
        <v>35.3956880569458</v>
      </c>
      <c r="F8" s="11">
        <f>D8/Premissas!$B$7</f>
        <v>0.034566101618111134</v>
      </c>
      <c r="G8" s="11">
        <f>IFERROR(D8/C8,0)</f>
        <v>276.72618213268515</v>
      </c>
      <c r="H8" s="6" t="s">
        <v>44</v>
      </c>
    </row>
    <row r="9" spans="1:8" ht="27" customHeight="1">
      <c r="A9" s="4" t="s">
        <v>45</v>
      </c>
      <c r="B9" s="5">
        <v>12</v>
      </c>
      <c r="C9" s="5">
        <v>143849</v>
      </c>
      <c r="D9" s="5">
        <v>39207658</v>
      </c>
      <c r="E9" s="11">
        <f>D9/Premissas!$B$6</f>
        <v>37.39133644104004</v>
      </c>
      <c r="F9" s="11">
        <f>D9/Premissas!$B$7</f>
        <v>0.03651497699320316</v>
      </c>
      <c r="G9" s="11">
        <f>IFERROR(D9/C9,0)</f>
        <v>272.56121349470624</v>
      </c>
      <c r="H9" s="6" t="s">
        <v>46</v>
      </c>
    </row>
    <row r="10" spans="1:8" ht="27" customHeight="1">
      <c r="A10" s="4" t="s">
        <v>47</v>
      </c>
      <c r="B10" s="5">
        <v>12</v>
      </c>
      <c r="C10" s="5">
        <v>160800</v>
      </c>
      <c r="D10" s="5">
        <v>44219126</v>
      </c>
      <c r="E10" s="11">
        <f>D10/Premissas!$B$6</f>
        <v>42.170644760131836</v>
      </c>
      <c r="F10" s="11">
        <f>D10/Premissas!$B$7</f>
        <v>0.041182270273566246</v>
      </c>
      <c r="G10" s="11">
        <f>IFERROR(D10/C10,0)</f>
        <v>274.9945646766169</v>
      </c>
      <c r="H10" s="6" t="s">
        <v>48</v>
      </c>
    </row>
    <row r="11" spans="1:8">
      <c r="A11" s="12" t="s">
        <v>49</v>
      </c>
      <c r="B11" s="13">
        <f>SUM(B6:B10)</f>
        <v>60</v>
      </c>
      <c r="C11" s="13">
        <f>SUM(C6:C10)</f>
        <v>658367</v>
      </c>
      <c r="D11" s="13">
        <f>SUM(D6:D10)</f>
        <v>181344219</v>
      </c>
      <c r="E11" s="14">
        <f>D11/Premissas!$B$6</f>
        <v>172.9433240890503</v>
      </c>
      <c r="F11" s="14">
        <f>D11/Premissas!$B$7</f>
        <v>0.16888996493071318</v>
      </c>
      <c r="G11" s="14">
        <f>IFERROR(D11/C11,0)</f>
        <v>275.4454870915462</v>
      </c>
      <c r="H11" s="6" t="s">
        <v>50</v>
      </c>
    </row>
    <row r="13" spans="1:8">
      <c r="A13" s="10" t="s">
        <v>51</v>
      </c>
      <c r="B13" s="10"/>
      <c r="C13" s="10"/>
      <c r="D13" s="10"/>
      <c r="E13" s="10"/>
      <c r="F13" s="10"/>
      <c r="G13" s="10"/>
      <c r="H13" s="10"/>
    </row>
    <row r="14" spans="1:8">
      <c r="A14" s="10"/>
      <c r="B14" s="10"/>
      <c r="C14" s="10"/>
      <c r="D14" s="10"/>
      <c r="E14" s="10"/>
      <c r="F14" s="10"/>
      <c r="G14" s="10"/>
      <c r="H14" s="10"/>
    </row>
  </sheetData>
  <autoFilter ref="A5:H10"/>
  <mergeCells count="3">
    <mergeCell ref="A1:H2"/>
    <mergeCell ref="A3:H3"/>
    <mergeCell ref="A13:H14"/>
  </mergeCells>
  <pageMargins left="0.3" right="0.3" top="0.5" bottom="0.5" header="0.3" footer="0.3"/>
  <pageSetup orientation="landscape"/>
  <headerFooter>
    <oddFooter>&amp;CCPGF 2021-2025 |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15.7109375" customWidth="1"/>
    <col min="3" max="4" width="20.7109375" customWidth="1"/>
    <col min="5" max="6" width="19.7109375" customWidth="1"/>
    <col min="7" max="7" width="58.7109375" customWidth="1"/>
  </cols>
  <sheetData>
    <row r="1" spans="1:7" ht="22" customHeight="1">
      <c r="A1" s="1" t="s">
        <v>52</v>
      </c>
      <c r="B1" s="1"/>
      <c r="C1" s="1"/>
      <c r="D1" s="1"/>
      <c r="E1" s="1"/>
      <c r="F1" s="1"/>
      <c r="G1" s="1"/>
    </row>
    <row r="2" spans="1:7" ht="17" customHeight="1">
      <c r="A2" s="1"/>
      <c r="B2" s="1"/>
      <c r="C2" s="1"/>
      <c r="D2" s="1"/>
      <c r="E2" s="1"/>
      <c r="F2" s="1"/>
      <c r="G2" s="1"/>
    </row>
    <row r="3" spans="1:7">
      <c r="A3" s="2" t="s">
        <v>53</v>
      </c>
      <c r="B3" s="2"/>
      <c r="C3" s="2"/>
      <c r="D3" s="2"/>
      <c r="E3" s="2"/>
      <c r="F3" s="2"/>
      <c r="G3" s="2"/>
    </row>
    <row r="5" spans="1:7">
      <c r="A5" s="3" t="s">
        <v>54</v>
      </c>
      <c r="B5" s="3" t="s">
        <v>55</v>
      </c>
      <c r="C5" s="3" t="s">
        <v>33</v>
      </c>
      <c r="D5" s="3" t="s">
        <v>34</v>
      </c>
      <c r="E5" s="3" t="s">
        <v>35</v>
      </c>
      <c r="F5" s="3" t="s">
        <v>37</v>
      </c>
      <c r="G5" s="3" t="s">
        <v>38</v>
      </c>
    </row>
    <row r="6" spans="1:7" ht="27" customHeight="1">
      <c r="A6" s="4" t="s">
        <v>56</v>
      </c>
      <c r="B6" s="4" t="s">
        <v>57</v>
      </c>
      <c r="C6" s="5">
        <v>658367</v>
      </c>
      <c r="D6" s="5">
        <v>17767341</v>
      </c>
      <c r="E6" s="11">
        <f>D6/Premissas!$B$6</f>
        <v>16.94425678253174</v>
      </c>
      <c r="F6" s="11">
        <f>IFERROR(D6/C6,0)</f>
        <v>26.986985981982695</v>
      </c>
      <c r="G6" s="6" t="s">
        <v>58</v>
      </c>
    </row>
    <row r="7" spans="1:7" ht="27" customHeight="1">
      <c r="A7" s="4" t="s">
        <v>59</v>
      </c>
      <c r="B7" s="4" t="s">
        <v>60</v>
      </c>
      <c r="C7" s="5">
        <v>96809</v>
      </c>
      <c r="D7" s="5">
        <v>5526887</v>
      </c>
      <c r="E7" s="11">
        <f>D7/Premissas!$B$6</f>
        <v>5.27085018157959</v>
      </c>
      <c r="F7" s="11">
        <f>IFERROR(D7/C7,0)</f>
        <v>57.09063206933239</v>
      </c>
      <c r="G7" s="6" t="s">
        <v>61</v>
      </c>
    </row>
    <row r="8" spans="1:7" ht="27" customHeight="1">
      <c r="A8" s="4" t="s">
        <v>62</v>
      </c>
      <c r="B8" s="4" t="s">
        <v>60</v>
      </c>
      <c r="C8" s="5">
        <v>1511</v>
      </c>
      <c r="D8" s="5">
        <v>217345</v>
      </c>
      <c r="E8" s="11">
        <f>D8/Premissas!$B$6</f>
        <v>0.2072763442993164</v>
      </c>
      <c r="F8" s="11">
        <f>IFERROR(D8/C8,0)</f>
        <v>143.84182660489742</v>
      </c>
      <c r="G8" s="6" t="s">
        <v>63</v>
      </c>
    </row>
    <row r="9" spans="1:7" ht="27" customHeight="1">
      <c r="A9" s="4" t="s">
        <v>64</v>
      </c>
      <c r="B9" s="4" t="s">
        <v>60</v>
      </c>
      <c r="C9" s="5">
        <v>12594</v>
      </c>
      <c r="D9" s="5">
        <v>635172</v>
      </c>
      <c r="E9" s="11">
        <f>D9/Premissas!$B$6</f>
        <v>0.6057472229003906</v>
      </c>
      <c r="F9" s="11">
        <f>IFERROR(D9/C9,0)</f>
        <v>50.434492615531205</v>
      </c>
      <c r="G9" s="6" t="s">
        <v>65</v>
      </c>
    </row>
    <row r="10" spans="1:7" ht="27" customHeight="1">
      <c r="A10" s="4" t="s">
        <v>66</v>
      </c>
      <c r="B10" s="4" t="s">
        <v>60</v>
      </c>
      <c r="C10" s="5">
        <v>1816</v>
      </c>
      <c r="D10" s="5">
        <v>82589</v>
      </c>
      <c r="E10" s="11">
        <f>D10/Premissas!$B$6</f>
        <v>0.07876300811767578</v>
      </c>
      <c r="F10" s="11">
        <f>IFERROR(D10/C10,0)</f>
        <v>45.47852422907489</v>
      </c>
      <c r="G10" s="6" t="s">
        <v>67</v>
      </c>
    </row>
    <row r="11" spans="1:7" ht="27" customHeight="1">
      <c r="A11" s="4" t="s">
        <v>68</v>
      </c>
      <c r="B11" s="4" t="s">
        <v>60</v>
      </c>
      <c r="C11" s="5">
        <v>9</v>
      </c>
      <c r="D11" s="5">
        <v>320</v>
      </c>
      <c r="E11" s="11">
        <f>D11/Premissas!$B$6</f>
        <v>0.00030517578125</v>
      </c>
      <c r="F11" s="11">
        <f>IFERROR(D11/C11,0)</f>
        <v>35.55555555555556</v>
      </c>
      <c r="G11" s="6" t="s">
        <v>69</v>
      </c>
    </row>
    <row r="12" spans="1:7">
      <c r="A12" s="12" t="s">
        <v>49</v>
      </c>
      <c r="B12" s="12" t="s">
        <v>70</v>
      </c>
      <c r="C12" s="13">
        <f>SUM(C6:C11)</f>
        <v>771106</v>
      </c>
      <c r="D12" s="13">
        <f>SUM(D6:D11)</f>
        <v>24229654</v>
      </c>
      <c r="E12" s="14">
        <f>D12/Premissas!$B$6</f>
        <v>23.10719871520996</v>
      </c>
      <c r="F12" s="14">
        <f>IFERROR(D12/C12,0)</f>
        <v>31.421949770848624</v>
      </c>
      <c r="G12" s="6" t="s">
        <v>71</v>
      </c>
    </row>
    <row r="14" spans="1:7">
      <c r="A14" s="10" t="s">
        <v>72</v>
      </c>
      <c r="B14" s="10"/>
      <c r="C14" s="10"/>
      <c r="D14" s="10"/>
      <c r="E14" s="10"/>
      <c r="F14" s="10"/>
      <c r="G14" s="10"/>
    </row>
    <row r="15" spans="1:7">
      <c r="A15" s="10"/>
      <c r="B15" s="10"/>
      <c r="C15" s="10"/>
      <c r="D15" s="10"/>
      <c r="E15" s="10"/>
      <c r="F15" s="10"/>
      <c r="G15" s="10"/>
    </row>
  </sheetData>
  <autoFilter ref="A5:G11"/>
  <mergeCells count="3">
    <mergeCell ref="A1:G2"/>
    <mergeCell ref="A3:G3"/>
    <mergeCell ref="A14:G15"/>
  </mergeCells>
  <pageMargins left="0.3" right="0.3" top="0.5" bottom="0.5" header="0.3" footer="0.3"/>
  <pageSetup orientation="landscape"/>
  <headerFooter>
    <oddFooter>&amp;CCPGF 2021-2025 |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6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36.7109375" customWidth="1"/>
    <col min="2" max="2" width="21.7109375" customWidth="1"/>
    <col min="3" max="7" width="18.7109375" customWidth="1"/>
    <col min="8" max="8" width="67.7109375" customWidth="1"/>
  </cols>
  <sheetData>
    <row r="1" spans="1:8" ht="22" customHeight="1">
      <c r="A1" s="1" t="s">
        <v>73</v>
      </c>
      <c r="B1" s="1"/>
      <c r="C1" s="1"/>
      <c r="D1" s="1"/>
      <c r="E1" s="1"/>
      <c r="F1" s="1"/>
      <c r="G1" s="1"/>
      <c r="H1" s="1"/>
    </row>
    <row r="2" spans="1:8" ht="17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74</v>
      </c>
      <c r="B3" s="2"/>
      <c r="C3" s="2"/>
      <c r="D3" s="2"/>
      <c r="E3" s="2"/>
      <c r="F3" s="2"/>
      <c r="G3" s="2"/>
      <c r="H3" s="2"/>
    </row>
    <row r="5" spans="1:8">
      <c r="A5" s="9" t="s">
        <v>75</v>
      </c>
      <c r="B5" s="9"/>
      <c r="C5" s="9"/>
      <c r="D5" s="9"/>
      <c r="E5" s="9"/>
      <c r="F5" s="9"/>
      <c r="G5" s="9"/>
      <c r="H5" s="9"/>
    </row>
    <row r="6" spans="1:8">
      <c r="A6" s="4" t="s">
        <v>76</v>
      </c>
      <c r="B6" s="15">
        <f>'Modelo CSV'!C6</f>
        <v>658367</v>
      </c>
    </row>
    <row r="7" spans="1:8">
      <c r="A7" s="4" t="s">
        <v>77</v>
      </c>
      <c r="B7" s="15">
        <f>'Modelo CSV'!D12</f>
        <v>24229654</v>
      </c>
    </row>
    <row r="8" spans="1:8">
      <c r="A8" s="4" t="s">
        <v>78</v>
      </c>
      <c r="B8" s="15">
        <f>'Brutos 2021-2025'!D11</f>
        <v>181344219</v>
      </c>
    </row>
    <row r="9" spans="1:8">
      <c r="A9" s="4" t="s">
        <v>79</v>
      </c>
      <c r="B9" s="15">
        <f>Premissas!B10</f>
        <v>9117811</v>
      </c>
    </row>
    <row r="11" spans="1:8">
      <c r="A11" s="9" t="s">
        <v>80</v>
      </c>
      <c r="B11" s="9"/>
      <c r="C11" s="9"/>
      <c r="D11" s="9"/>
      <c r="E11" s="9"/>
      <c r="F11" s="9"/>
      <c r="G11" s="9"/>
      <c r="H11" s="9"/>
    </row>
    <row r="12" spans="1:8" ht="40" customHeight="1">
      <c r="A12" s="3" t="s">
        <v>81</v>
      </c>
      <c r="B12" s="3" t="s">
        <v>82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87</v>
      </c>
      <c r="H12" s="3" t="s">
        <v>88</v>
      </c>
    </row>
    <row r="13" spans="1:8" ht="44" customHeight="1">
      <c r="A13" s="4" t="s">
        <v>89</v>
      </c>
      <c r="B13" s="15">
        <f>Premissas!B10</f>
        <v>9117811</v>
      </c>
      <c r="C13" s="11">
        <f>B13/Premissas!$B$6</f>
        <v>8.695422172546387</v>
      </c>
      <c r="D13" s="11">
        <f>B13/Premissas!$B$7</f>
        <v>0.00849162321537733</v>
      </c>
      <c r="E13" s="11">
        <f>C13*(1+Premissas!$B$9)*Premissas!$B$8</f>
        <v>2.608626651763916</v>
      </c>
      <c r="F13" s="11">
        <f>C13*(1+Premissas!$B$9)*(1+Premissas!$B$8)</f>
        <v>11.304048824310303</v>
      </c>
      <c r="G13" s="11">
        <f>F13*Premissas!$B$6/Premissas!$B$7</f>
        <v>0.01103911017999053</v>
      </c>
      <c r="H13" s="6" t="s">
        <v>90</v>
      </c>
    </row>
    <row r="14" spans="1:8" ht="44" customHeight="1">
      <c r="A14" s="4" t="s">
        <v>91</v>
      </c>
      <c r="B14" s="16">
        <f>B13+'Modelo CSV'!D12</f>
        <v>33347465</v>
      </c>
      <c r="C14" s="11">
        <f>B14/Premissas!$B$6</f>
        <v>31.802620887756348</v>
      </c>
      <c r="D14" s="11">
        <f>B14/Premissas!$B$7</f>
        <v>0.031057246960699558</v>
      </c>
      <c r="E14" s="11">
        <f>C14*(1+Premissas!$B$9)*Premissas!$B$8</f>
        <v>9.540786266326904</v>
      </c>
      <c r="F14" s="11">
        <f>C14*(1+Premissas!$B$9)*(1+Premissas!$B$8)</f>
        <v>41.34340715408325</v>
      </c>
      <c r="G14" s="11">
        <f>F14*Premissas!$B$6/Premissas!$B$7</f>
        <v>0.040374421048909426</v>
      </c>
      <c r="H14" s="6" t="s">
        <v>92</v>
      </c>
    </row>
    <row r="15" spans="1:8" ht="44" customHeight="1">
      <c r="A15" s="4" t="s">
        <v>93</v>
      </c>
      <c r="B15" s="16">
        <f>B14+'Brutos 2021-2025'!D11</f>
        <v>214691684</v>
      </c>
      <c r="C15" s="11">
        <f>B15/Premissas!$B$6</f>
        <v>204.74594497680664</v>
      </c>
      <c r="D15" s="11">
        <f>B15/Premissas!$B$7</f>
        <v>0.19994721189141273</v>
      </c>
      <c r="E15" s="11">
        <f>C15*(1+Premissas!$B$9)*Premissas!$B$8</f>
        <v>61.42378349304199</v>
      </c>
      <c r="F15" s="11">
        <f>C15*(1+Premissas!$B$9)*(1+Premissas!$B$8)</f>
        <v>266.1697284698486</v>
      </c>
      <c r="G15" s="11">
        <f>F15*Premissas!$B$6/Premissas!$B$7</f>
        <v>0.25993137545883654</v>
      </c>
      <c r="H15" s="6" t="s">
        <v>94</v>
      </c>
    </row>
    <row r="16" spans="1:8" ht="44" customHeight="1">
      <c r="A16" s="4" t="s">
        <v>95</v>
      </c>
      <c r="B16" s="16">
        <f>B15+Premissas!B11</f>
        <v>276280876</v>
      </c>
      <c r="C16" s="11">
        <f>B16/Premissas!$B$6</f>
        <v>263.4819755554199</v>
      </c>
      <c r="D16" s="11">
        <f>B16/Premissas!$B$7</f>
        <v>0.25730661675333977</v>
      </c>
      <c r="E16" s="11">
        <f>C16*(1+Premissas!$B$9)*Premissas!$B$8</f>
        <v>79.04459266662597</v>
      </c>
      <c r="F16" s="11">
        <f>C16*(1+Premissas!$B$9)*(1+Premissas!$B$8)</f>
        <v>342.5265682220459</v>
      </c>
      <c r="G16" s="11">
        <f>F16*Premissas!$B$6/Premissas!$B$7</f>
        <v>0.3344986017793417</v>
      </c>
      <c r="H16" s="6" t="s">
        <v>96</v>
      </c>
    </row>
    <row r="19" spans="1:8">
      <c r="A19" s="12" t="s">
        <v>97</v>
      </c>
      <c r="B19" s="17">
        <f>F15</f>
        <v>266.1697284698486</v>
      </c>
      <c r="C19" s="12" t="s">
        <v>35</v>
      </c>
    </row>
    <row r="20" spans="1:8">
      <c r="A20" s="12" t="s">
        <v>98</v>
      </c>
      <c r="B20" s="17">
        <f>F16</f>
        <v>342.5265682220459</v>
      </c>
      <c r="C20" s="12" t="s">
        <v>35</v>
      </c>
    </row>
    <row r="22" spans="1:8">
      <c r="A22" s="10" t="s">
        <v>99</v>
      </c>
      <c r="B22" s="10"/>
      <c r="C22" s="10"/>
      <c r="D22" s="10"/>
      <c r="E22" s="10"/>
      <c r="F22" s="10"/>
      <c r="G22" s="10"/>
      <c r="H22" s="10"/>
    </row>
    <row r="23" spans="1:8">
      <c r="A23" s="10"/>
      <c r="B23" s="10"/>
      <c r="C23" s="10"/>
      <c r="D23" s="10"/>
      <c r="E23" s="10"/>
      <c r="F23" s="10"/>
      <c r="G23" s="10"/>
      <c r="H23" s="10"/>
    </row>
    <row r="25" spans="1:8">
      <c r="A25" s="10" t="s">
        <v>100</v>
      </c>
      <c r="B25" s="10"/>
      <c r="C25" s="10"/>
      <c r="D25" s="10"/>
      <c r="E25" s="10"/>
      <c r="F25" s="10"/>
      <c r="G25" s="10"/>
      <c r="H25" s="10"/>
    </row>
    <row r="26" spans="1:8">
      <c r="A26" s="10"/>
      <c r="B26" s="10"/>
      <c r="C26" s="10"/>
      <c r="D26" s="10"/>
      <c r="E26" s="10"/>
      <c r="F26" s="10"/>
      <c r="G26" s="10"/>
      <c r="H26" s="10"/>
    </row>
  </sheetData>
  <mergeCells count="6">
    <mergeCell ref="A1:H2"/>
    <mergeCell ref="A3:H3"/>
    <mergeCell ref="A5:H5"/>
    <mergeCell ref="A11:H11"/>
    <mergeCell ref="A22:H23"/>
    <mergeCell ref="A25:H26"/>
  </mergeCells>
  <pageMargins left="0.3" right="0.3" top="0.5" bottom="0.5" header="0.3" footer="0.3"/>
  <pageSetup orientation="landscape"/>
  <headerFooter>
    <oddFooter>&amp;CCPGF 2021-2025 |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Premissas</vt:lpstr>
      <vt:lpstr>Brutos 2021-2025</vt:lpstr>
      <vt:lpstr>Modelo CSV</vt:lpstr>
      <vt:lpstr>Resumo</vt:lpstr>
      <vt:lpstr>'Brutos 2021-2025'!Print_Area</vt:lpstr>
      <vt:lpstr>'Modelo CSV'!Print_Area</vt:lpstr>
      <vt:lpstr>Premissas!Print_Area</vt:lpstr>
      <vt:lpstr>Resumo!Print_Area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Dimensionamento de espaço DOLAP - CPGF 2021 a 2025</dc:title>
  <dc:subject>Espaço em disco para dados e Power BI locais</dc:subject>
  <dc:creator/>
  <dc:description>Valores observados nos arquivos locais em 30/09/2026.</dc:description>
  <cp:lastModifiedBy/>
  <dcterms:created xsi:type="dcterms:W3CDTF">2026-10-01T00:42:28Z</dcterms:created>
  <dcterms:modified xsi:type="dcterms:W3CDTF">2026-10-01T00:42:28Z</dcterms:modified>
</cp:coreProperties>
</file>