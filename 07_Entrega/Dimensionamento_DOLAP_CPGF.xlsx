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_Brutos" sheetId="2" state="visible" r:id="rId2"/>
    <sheet name="Modelo_Dimensional" sheetId="3" state="visible" r:id="rId3"/>
    <sheet name="Premissas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4" fontId="0" fillId="4" borderId="1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20" customWidth="1" min="4" max="4"/>
    <col width="58" customWidth="1" min="5" max="5"/>
  </cols>
  <sheetData>
    <row r="1" ht="28" customHeight="1">
      <c r="A1" s="1" t="inlineStr">
        <is>
          <t>Dimensionamento de armazenamento DOLAP — CPGF 2021–2025</t>
        </is>
      </c>
    </row>
    <row r="3">
      <c r="A3" s="2" t="inlineStr">
        <is>
          <t>Cenário de armazenamento</t>
        </is>
      </c>
      <c r="B3" s="2" t="inlineStr">
        <is>
          <t>Bytes</t>
        </is>
      </c>
      <c r="C3" s="2" t="inlineStr">
        <is>
          <t>MB (10⁶ bytes)</t>
        </is>
      </c>
      <c r="D3" s="2" t="inlineStr">
        <is>
          <t>MiB (2²⁰ bytes)</t>
        </is>
      </c>
      <c r="E3" s="2" t="inlineStr">
        <is>
          <t>Interpretação</t>
        </is>
      </c>
    </row>
    <row r="4">
      <c r="A4" s="3" t="inlineStr">
        <is>
          <t>Modelo dimensional tratado</t>
        </is>
      </c>
      <c r="B4" s="4">
        <f>SUM('Modelo_Dimensional'!D2:D8)</f>
        <v/>
      </c>
      <c r="C4" s="5">
        <f>B4/1000000</f>
        <v/>
      </c>
      <c r="D4" s="5">
        <f>B4/1048576</f>
        <v/>
      </c>
      <c r="E4" s="3" t="inlineStr">
        <is>
          <t>Fato + dimensões, conforme CSVs tratados atuais.</t>
        </is>
      </c>
    </row>
    <row r="5">
      <c r="A5" s="6" t="inlineStr">
        <is>
          <t>Dados brutos</t>
        </is>
      </c>
      <c r="B5" s="7">
        <f>SUM('Dados_Brutos'!D2:D6)</f>
        <v/>
      </c>
      <c r="C5" s="8">
        <f>B5/1000000</f>
        <v/>
      </c>
      <c r="D5" s="8">
        <f>B5/1048576</f>
        <v/>
      </c>
      <c r="E5" s="6" t="inlineStr">
        <is>
          <t>60 arquivos mensais do Portal da Transparência.</t>
        </is>
      </c>
    </row>
    <row r="6">
      <c r="A6" s="3" t="inlineStr">
        <is>
          <t>Brutos + modelo dimensional</t>
        </is>
      </c>
      <c r="B6" s="4">
        <f>B4+B5</f>
        <v/>
      </c>
      <c r="C6" s="5">
        <f>B6/1000000</f>
        <v/>
      </c>
      <c r="D6" s="5">
        <f>B6/1048576</f>
        <v/>
      </c>
      <c r="E6" s="3" t="inlineStr">
        <is>
          <t>Cenário de retenção local de ambas as camadas.</t>
        </is>
      </c>
    </row>
    <row r="8">
      <c r="A8" s="9" t="inlineStr">
        <is>
          <t>Os tamanhos são observados nos arquivos CSV locais, não estimativas de memória do Power BI.</t>
        </is>
      </c>
    </row>
    <row r="9">
      <c r="A9" s="9" t="inlineStr">
        <is>
          <t>O total principal para DOLAP é “Modelo dimensional tratado”; “Brutos + modelo” inclui retenção das duas camadas.</t>
        </is>
      </c>
    </row>
    <row r="10">
      <c r="A10" s="9" t="inlineStr">
        <is>
          <t>Não inclui PBIX, ZIPs, workflow KNIME, cópias temporárias nem espaço livre/reserva do sistema operacional.</t>
        </is>
      </c>
    </row>
  </sheetData>
  <mergeCells count="4">
    <mergeCell ref="A1:E1"/>
    <mergeCell ref="A10:E10"/>
    <mergeCell ref="A9:E9"/>
    <mergeCell ref="A8:E8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2" t="inlineStr">
        <is>
          <t>Ano</t>
        </is>
      </c>
      <c r="B1" s="2" t="inlineStr">
        <is>
          <t>Arquivos CSV</t>
        </is>
      </c>
      <c r="C1" s="2" t="inlineStr">
        <is>
          <t>Linhas de dados</t>
        </is>
      </c>
      <c r="D1" s="2" t="inlineStr">
        <is>
          <t>Bytes</t>
        </is>
      </c>
      <c r="E1" s="2" t="inlineStr">
        <is>
          <t>MB (10⁶ bytes)</t>
        </is>
      </c>
      <c r="F1" s="2" t="inlineStr">
        <is>
          <t>MiB (2²⁰ bytes)</t>
        </is>
      </c>
    </row>
    <row r="2">
      <c r="A2" s="10" t="n">
        <v>2021</v>
      </c>
      <c r="B2" s="10" t="n">
        <v>12</v>
      </c>
      <c r="C2" s="10" t="n">
        <v>82985</v>
      </c>
      <c r="D2" s="11" t="n">
        <v>22578020</v>
      </c>
      <c r="E2" s="12">
        <f>D2/1000000</f>
        <v/>
      </c>
      <c r="F2" s="12">
        <f>D2/1048576</f>
        <v/>
      </c>
    </row>
    <row r="3">
      <c r="A3" t="n">
        <v>2022</v>
      </c>
      <c r="B3" t="n">
        <v>12</v>
      </c>
      <c r="C3" t="n">
        <v>136611</v>
      </c>
      <c r="D3" s="13" t="n">
        <v>38224346</v>
      </c>
      <c r="E3" s="14">
        <f>D3/1000000</f>
        <v/>
      </c>
      <c r="F3" s="14">
        <f>D3/1048576</f>
        <v/>
      </c>
    </row>
    <row r="4">
      <c r="A4" s="10" t="n">
        <v>2023</v>
      </c>
      <c r="B4" s="10" t="n">
        <v>12</v>
      </c>
      <c r="C4" s="10" t="n">
        <v>134122</v>
      </c>
      <c r="D4" s="11" t="n">
        <v>37115069</v>
      </c>
      <c r="E4" s="12">
        <f>D4/1000000</f>
        <v/>
      </c>
      <c r="F4" s="12">
        <f>D4/1048576</f>
        <v/>
      </c>
    </row>
    <row r="5">
      <c r="A5" t="n">
        <v>2024</v>
      </c>
      <c r="B5" t="n">
        <v>12</v>
      </c>
      <c r="C5" t="n">
        <v>143849</v>
      </c>
      <c r="D5" s="13" t="n">
        <v>39207658</v>
      </c>
      <c r="E5" s="14">
        <f>D5/1000000</f>
        <v/>
      </c>
      <c r="F5" s="14">
        <f>D5/1048576</f>
        <v/>
      </c>
    </row>
    <row r="6">
      <c r="A6" s="10" t="n">
        <v>2025</v>
      </c>
      <c r="B6" s="10" t="n">
        <v>12</v>
      </c>
      <c r="C6" s="10" t="n">
        <v>160800</v>
      </c>
      <c r="D6" s="11" t="n">
        <v>44219126</v>
      </c>
      <c r="E6" s="12">
        <f>D6/1000000</f>
        <v/>
      </c>
      <c r="F6" s="12">
        <f>D6/1048576</f>
        <v/>
      </c>
    </row>
    <row r="7">
      <c r="A7" s="15" t="inlineStr">
        <is>
          <t>Total</t>
        </is>
      </c>
      <c r="B7" s="15">
        <f>SUM(B2:B6)</f>
        <v/>
      </c>
      <c r="C7" s="15">
        <f>SUM(C2:C6)</f>
        <v/>
      </c>
      <c r="D7" s="15">
        <f>SUM(D2:D6)</f>
        <v/>
      </c>
      <c r="E7" s="15">
        <f>D7/1000000</f>
        <v/>
      </c>
      <c r="F7" s="15">
        <f>D7/1048576</f>
        <v/>
      </c>
    </row>
  </sheetData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16" customWidth="1" min="3" max="3"/>
    <col width="18" customWidth="1" min="4" max="4"/>
    <col width="20" customWidth="1" min="5" max="5"/>
    <col width="20" customWidth="1" min="6" max="6"/>
  </cols>
  <sheetData>
    <row r="1" ht="28" customHeight="1">
      <c r="A1" s="2" t="inlineStr">
        <is>
          <t>Tabela</t>
        </is>
      </c>
      <c r="B1" s="2" t="inlineStr">
        <is>
          <t>Granularidade/descrição</t>
        </is>
      </c>
      <c r="C1" s="2" t="inlineStr">
        <is>
          <t>Linhas</t>
        </is>
      </c>
      <c r="D1" s="2" t="inlineStr">
        <is>
          <t>Bytes</t>
        </is>
      </c>
      <c r="E1" s="2" t="inlineStr">
        <is>
          <t>MB (10⁶ bytes)</t>
        </is>
      </c>
      <c r="F1" s="2" t="inlineStr">
        <is>
          <t>MiB (2²⁰ bytes)</t>
        </is>
      </c>
    </row>
    <row r="2">
      <c r="A2" s="10" t="inlineStr">
        <is>
          <t>Dim_Favorecido.csv</t>
        </is>
      </c>
      <c r="B2" s="16" t="inlineStr">
        <is>
          <t>CNPJ/CPF e nome do favorecido.</t>
        </is>
      </c>
      <c r="C2" s="10" t="n">
        <v>96809</v>
      </c>
      <c r="D2" s="11" t="n">
        <v>5526887</v>
      </c>
      <c r="E2" s="12">
        <f>D2/1000000</f>
        <v/>
      </c>
      <c r="F2" s="12">
        <f>D2/1048576</f>
        <v/>
      </c>
    </row>
    <row r="3">
      <c r="A3" t="inlineStr">
        <is>
          <t>Dim_Orgao.csv</t>
        </is>
      </c>
      <c r="B3" s="9" t="inlineStr">
        <is>
          <t>Órgão Superior &gt; Órgão &gt; Unidade Gestora.</t>
        </is>
      </c>
      <c r="C3" t="n">
        <v>1511</v>
      </c>
      <c r="D3" s="13" t="n">
        <v>217345</v>
      </c>
      <c r="E3" s="14">
        <f>D3/1000000</f>
        <v/>
      </c>
      <c r="F3" s="14">
        <f>D3/1048576</f>
        <v/>
      </c>
    </row>
    <row r="4">
      <c r="A4" s="10" t="inlineStr">
        <is>
          <t>Dim_Periodo_Extrato.csv</t>
        </is>
      </c>
      <c r="B4" s="16" t="inlineStr">
        <is>
          <t>Ano &gt; mês do extrato, em dimensão separada.</t>
        </is>
      </c>
      <c r="C4" s="10" t="n">
        <v>60</v>
      </c>
      <c r="D4" s="11" t="n">
        <v>901</v>
      </c>
      <c r="E4" s="12">
        <f>D4/1000000</f>
        <v/>
      </c>
      <c r="F4" s="12">
        <f>D4/1048576</f>
        <v/>
      </c>
    </row>
    <row r="5">
      <c r="A5" t="inlineStr">
        <is>
          <t>Dim_Portador.csv</t>
        </is>
      </c>
      <c r="B5" s="9" t="inlineStr">
        <is>
          <t>Portador; inclui chave “Não informado”.</t>
        </is>
      </c>
      <c r="C5" t="n">
        <v>12594</v>
      </c>
      <c r="D5" s="13" t="n">
        <v>584814</v>
      </c>
      <c r="E5" s="14">
        <f>D5/1000000</f>
        <v/>
      </c>
      <c r="F5" s="14">
        <f>D5/1048576</f>
        <v/>
      </c>
    </row>
    <row r="6">
      <c r="A6" s="10" t="inlineStr">
        <is>
          <t>Dim_Tempo.csv</t>
        </is>
      </c>
      <c r="B6" s="16" t="inlineStr">
        <is>
          <t>Data efetiva; chave 0 representa data desconhecida.</t>
        </is>
      </c>
      <c r="C6" s="10" t="n">
        <v>1816</v>
      </c>
      <c r="D6" s="11" t="n">
        <v>75315</v>
      </c>
      <c r="E6" s="12">
        <f>D6/1000000</f>
        <v/>
      </c>
      <c r="F6" s="12">
        <f>D6/1048576</f>
        <v/>
      </c>
    </row>
    <row r="7">
      <c r="A7" t="inlineStr">
        <is>
          <t>Dim_Transacao.csv</t>
        </is>
      </c>
      <c r="B7" s="9" t="inlineStr">
        <is>
          <t>Tipo/categoria da transação.</t>
        </is>
      </c>
      <c r="C7" t="n">
        <v>9</v>
      </c>
      <c r="D7" s="13" t="n">
        <v>320</v>
      </c>
      <c r="E7" s="14">
        <f>D7/1000000</f>
        <v/>
      </c>
      <c r="F7" s="14">
        <f>D7/1048576</f>
        <v/>
      </c>
    </row>
    <row r="8">
      <c r="A8" s="10" t="inlineStr">
        <is>
          <t>Fato_Transacoes.csv</t>
        </is>
      </c>
      <c r="B8" s="16" t="inlineStr">
        <is>
          <t>Uma linha por transação; inclui valor, chaves e base/período de referência.</t>
        </is>
      </c>
      <c r="C8" s="10" t="n">
        <v>658367</v>
      </c>
      <c r="D8" s="11" t="n">
        <v>34065488</v>
      </c>
      <c r="E8" s="12">
        <f>D8/1000000</f>
        <v/>
      </c>
      <c r="F8" s="12">
        <f>D8/1048576</f>
        <v/>
      </c>
    </row>
    <row r="9">
      <c r="A9" s="15" t="inlineStr">
        <is>
          <t>Total modelo dimensional</t>
        </is>
      </c>
      <c r="B9" s="15" t="inlineStr">
        <is>
          <t>Fato + dimensões</t>
        </is>
      </c>
      <c r="C9" s="15">
        <f>SUM(C2:C8)</f>
        <v/>
      </c>
      <c r="D9" s="15">
        <f>SUM(D2:D8)</f>
        <v/>
      </c>
      <c r="E9" s="15">
        <f>D9/1000000</f>
        <v/>
      </c>
      <c r="F9" s="15">
        <f>D9/1048576</f>
        <v/>
      </c>
    </row>
  </sheetData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2" t="inlineStr">
        <is>
          <t>Premissa</t>
        </is>
      </c>
      <c r="B1" s="2" t="inlineStr">
        <is>
          <t>Valor/explicação</t>
        </is>
      </c>
    </row>
    <row r="2">
      <c r="A2" t="inlineStr">
        <is>
          <t>Período considerado</t>
        </is>
      </c>
      <c r="B2" s="17" t="inlineStr">
        <is>
          <t>Arquivos mensais de janeiro/2021 a dezembro/2025.</t>
        </is>
      </c>
    </row>
    <row r="3">
      <c r="A3" t="inlineStr">
        <is>
          <t>Arquivos brutos</t>
        </is>
      </c>
      <c r="B3" s="17" t="inlineStr">
        <is>
          <t>60 CSVs, 12 por ano, lidos em Windows-1252 e delimitados por ponto e vírgula.</t>
        </is>
      </c>
    </row>
    <row r="4">
      <c r="A4" t="inlineStr">
        <is>
          <t>Arquitetura</t>
        </is>
      </c>
      <c r="B4" s="17" t="inlineStr">
        <is>
          <t>DOLAP local; dimensão e fato tratados armazenados em CSV.</t>
        </is>
      </c>
    </row>
    <row r="5">
      <c r="A5" t="inlineStr">
        <is>
          <t>Estimativa principal</t>
        </is>
      </c>
      <c r="B5" s="17" t="inlineStr">
        <is>
          <t>Tamanho observado dos arquivos em Modelo_Dimensional; MB decimal e MiB binário são mostrados em colunas separadas.</t>
        </is>
      </c>
    </row>
    <row r="6">
      <c r="A6" t="inlineStr">
        <is>
          <t>Retenção da origem</t>
        </is>
      </c>
      <c r="B6" s="17" t="inlineStr">
        <is>
          <t>A planilha mostra também o cenário de manter dados brutos e tratados no mesmo disco.</t>
        </is>
      </c>
    </row>
    <row r="7">
      <c r="A7" t="inlineStr">
        <is>
          <t>Limites</t>
        </is>
      </c>
      <c r="B7" s="17" t="inlineStr">
        <is>
          <t>Sem compressão ZIP, cache do Power BI, cópias temporárias ou reserva de espaço; adicionar esses itens se forem exigidos pelo professor.</t>
        </is>
      </c>
    </row>
    <row r="8">
      <c r="A8" t="inlineStr">
        <is>
          <t>Período de referência</t>
        </is>
      </c>
      <c r="B8" s="17" t="inlineStr">
        <is>
          <t>Dim_Periodo_Extrato separa Ano/Mês do extrato da data efetiva da transação.</t>
        </is>
      </c>
    </row>
  </sheetData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2026-09-30T23:40:40Z</dcterms:created>
  <dcterms:modified xsi:type="dcterms:W3CDTF">2026-09-30T23:46:38Z</dcterms:modified>
</cp:coreProperties>
</file>